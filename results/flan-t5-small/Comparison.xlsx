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nforonline-my.sharepoint.com/personal/jakub_kopystianski_infor_com/Documents/Desktop/ModeleJezykowe/projekt/LM-project/results/flan-t5-small/"/>
    </mc:Choice>
  </mc:AlternateContent>
  <xr:revisionPtr revIDLastSave="224" documentId="11_F25DC773A252ABDACC1048250919570E5ADE58F1" xr6:coauthVersionLast="47" xr6:coauthVersionMax="47" xr10:uidLastSave="{8F63FF22-1544-4533-887A-418438BA6858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  <c r="D29" i="1"/>
  <c r="C29" i="1"/>
  <c r="B29" i="1"/>
  <c r="I23" i="1"/>
  <c r="H23" i="1"/>
  <c r="G23" i="1"/>
  <c r="C23" i="1"/>
  <c r="B23" i="1"/>
  <c r="I17" i="1"/>
  <c r="H17" i="1"/>
  <c r="G17" i="1"/>
  <c r="C17" i="1"/>
  <c r="B17" i="1"/>
  <c r="I11" i="1"/>
  <c r="H11" i="1"/>
  <c r="G11" i="1"/>
  <c r="E11" i="1"/>
  <c r="D11" i="1"/>
  <c r="C11" i="1"/>
  <c r="B11" i="1"/>
  <c r="C5" i="1"/>
  <c r="D5" i="1"/>
  <c r="G5" i="1"/>
  <c r="H5" i="1"/>
  <c r="I5" i="1"/>
  <c r="B5" i="1"/>
</calcChain>
</file>

<file path=xl/sharedStrings.xml><?xml version="1.0" encoding="utf-8"?>
<sst xmlns="http://schemas.openxmlformats.org/spreadsheetml/2006/main" count="65" uniqueCount="17">
  <si>
    <t>Baseline</t>
  </si>
  <si>
    <t>Finetuned</t>
  </si>
  <si>
    <t>Bible</t>
  </si>
  <si>
    <t>BLEU</t>
  </si>
  <si>
    <t>1-gram</t>
  </si>
  <si>
    <t>2-gram</t>
  </si>
  <si>
    <t>3-gram</t>
  </si>
  <si>
    <t>4-gram</t>
  </si>
  <si>
    <t>BP</t>
  </si>
  <si>
    <t>ratio</t>
  </si>
  <si>
    <t>chrF2</t>
  </si>
  <si>
    <t>technicalIT</t>
  </si>
  <si>
    <t>Theology</t>
  </si>
  <si>
    <t>Technical General</t>
  </si>
  <si>
    <t>Contemporary</t>
  </si>
  <si>
    <t>google/ flan-t5-small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</si>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</sst>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4" borderId="0" xfId="0" applyFill="1" applyBorder="1" applyAlignment="1">
      <alignment horizontal="center" vertical="center"/>
    </xf>
    <xf numFmtId="9" fontId="0" fillId="4" borderId="0" xfId="1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7"/>
  <sheetViews>
    <sheetView tabSelected="1" workbookViewId="0">
      <selection activeCell="N10" sqref="N10"/>
    </sheetView>
  </sheetViews>
  <sheetFormatPr defaultRowHeight="14.4" x14ac:dyDescent="0.3"/>
  <cols>
    <col min="1" max="1" width="13.109375" style="1" customWidth="1"/>
    <col min="2" max="2" width="6.44140625" style="1" bestFit="1" customWidth="1"/>
    <col min="3" max="6" width="6.88671875" style="1" bestFit="1" customWidth="1"/>
    <col min="7" max="7" width="3.21875" style="1" bestFit="1" customWidth="1"/>
    <col min="8" max="9" width="6" style="1" bestFit="1" customWidth="1"/>
    <col min="10" max="10" width="5.33203125" style="1" bestFit="1" customWidth="1"/>
    <col min="11" max="11" width="6.88671875" style="1" bestFit="1" customWidth="1"/>
    <col min="12" max="12" width="6.88671875" style="1" customWidth="1"/>
    <col min="13" max="14" width="6.88671875" style="1" bestFit="1" customWidth="1"/>
    <col min="15" max="15" width="3.21875" style="1" bestFit="1" customWidth="1"/>
    <col min="16" max="16" width="6" style="1" bestFit="1" customWidth="1"/>
    <col min="17" max="17" width="5.5546875" style="1" bestFit="1" customWidth="1"/>
    <col min="18" max="18" width="5.33203125" style="1" bestFit="1" customWidth="1"/>
    <col min="19" max="22" width="6.88671875" style="1" bestFit="1" customWidth="1"/>
    <col min="23" max="23" width="3.21875" style="1" bestFit="1" customWidth="1"/>
    <col min="24" max="25" width="6" style="1" bestFit="1" customWidth="1"/>
    <col min="26" max="26" width="5.33203125" style="1" bestFit="1" customWidth="1"/>
    <col min="27" max="30" width="6.88671875" style="1" bestFit="1" customWidth="1"/>
    <col min="31" max="31" width="3.21875" style="1" bestFit="1" customWidth="1"/>
    <col min="32" max="33" width="6" style="1" bestFit="1" customWidth="1"/>
    <col min="34" max="34" width="5.33203125" style="1" bestFit="1" customWidth="1"/>
    <col min="35" max="38" width="6.88671875" style="1" bestFit="1" customWidth="1"/>
    <col min="39" max="39" width="3.21875" style="1" bestFit="1" customWidth="1"/>
    <col min="40" max="40" width="6" style="1" bestFit="1" customWidth="1"/>
    <col min="41" max="41" width="5.5546875" style="1" bestFit="1" customWidth="1"/>
    <col min="42" max="16384" width="8.88671875" style="1"/>
  </cols>
  <sheetData>
    <row r="1" spans="1:41" ht="16.8" customHeight="1" x14ac:dyDescent="0.3">
      <c r="A1" s="10" t="s">
        <v>15</v>
      </c>
      <c r="B1" s="11" t="s">
        <v>2</v>
      </c>
      <c r="C1" s="11"/>
      <c r="D1" s="11"/>
      <c r="E1" s="11"/>
      <c r="F1" s="11"/>
      <c r="G1" s="11"/>
      <c r="H1" s="11"/>
      <c r="I1" s="12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</row>
    <row r="2" spans="1:41" ht="16.2" customHeight="1" x14ac:dyDescent="0.3">
      <c r="A2" s="13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14" t="s">
        <v>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15" t="s">
        <v>0</v>
      </c>
      <c r="B3" s="2">
        <v>7.0000000000000007E-2</v>
      </c>
      <c r="C3" s="2">
        <v>10.4</v>
      </c>
      <c r="D3" s="2">
        <v>0.1</v>
      </c>
      <c r="E3" s="2">
        <v>0</v>
      </c>
      <c r="F3" s="2">
        <v>0</v>
      </c>
      <c r="G3" s="2">
        <v>1</v>
      </c>
      <c r="H3" s="2">
        <v>1.216</v>
      </c>
      <c r="I3" s="16">
        <v>12.29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15" t="s">
        <v>1</v>
      </c>
      <c r="B4" s="2">
        <v>1.7</v>
      </c>
      <c r="C4" s="2">
        <v>20.6</v>
      </c>
      <c r="D4" s="2">
        <v>3.9</v>
      </c>
      <c r="E4" s="2">
        <v>0.6</v>
      </c>
      <c r="F4" s="2">
        <v>0.2</v>
      </c>
      <c r="G4" s="2">
        <v>1</v>
      </c>
      <c r="H4" s="2">
        <v>1.004</v>
      </c>
      <c r="I4" s="16">
        <v>15.82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ht="15" thickBot="1" x14ac:dyDescent="0.35">
      <c r="A5" s="17" t="s">
        <v>16</v>
      </c>
      <c r="B5" s="18">
        <f>(B4-B3)/B3</f>
        <v>23.285714285714281</v>
      </c>
      <c r="C5" s="18">
        <f t="shared" ref="C5:AO5" si="0">(C4-C3)/C3</f>
        <v>0.98076923076923084</v>
      </c>
      <c r="D5" s="18">
        <f t="shared" si="0"/>
        <v>37.999999999999993</v>
      </c>
      <c r="E5" s="18">
        <v>0</v>
      </c>
      <c r="F5" s="18">
        <v>0</v>
      </c>
      <c r="G5" s="18">
        <f t="shared" si="0"/>
        <v>0</v>
      </c>
      <c r="H5" s="18">
        <f t="shared" si="0"/>
        <v>-0.17434210526315788</v>
      </c>
      <c r="I5" s="19">
        <f t="shared" si="0"/>
        <v>0.28722538649308393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</row>
    <row r="6" spans="1:41" ht="15" thickBot="1" x14ac:dyDescent="0.35"/>
    <row r="7" spans="1:41" x14ac:dyDescent="0.3">
      <c r="A7" s="10" t="s">
        <v>15</v>
      </c>
      <c r="B7" s="20" t="s">
        <v>11</v>
      </c>
      <c r="C7" s="20"/>
      <c r="D7" s="20"/>
      <c r="E7" s="20"/>
      <c r="F7" s="20"/>
      <c r="G7" s="20"/>
      <c r="H7" s="20"/>
      <c r="I7" s="21"/>
    </row>
    <row r="8" spans="1:41" x14ac:dyDescent="0.3">
      <c r="A8" s="13"/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22" t="s">
        <v>10</v>
      </c>
    </row>
    <row r="9" spans="1:41" x14ac:dyDescent="0.3">
      <c r="A9" s="15" t="s">
        <v>0</v>
      </c>
      <c r="B9" s="2">
        <v>0.42</v>
      </c>
      <c r="C9" s="2">
        <v>14</v>
      </c>
      <c r="D9" s="2">
        <v>0.7</v>
      </c>
      <c r="E9" s="2">
        <v>0.1</v>
      </c>
      <c r="F9" s="2">
        <v>0</v>
      </c>
      <c r="G9" s="2">
        <v>1</v>
      </c>
      <c r="H9" s="2">
        <v>1.278</v>
      </c>
      <c r="I9" s="16">
        <v>16.21</v>
      </c>
    </row>
    <row r="10" spans="1:41" x14ac:dyDescent="0.3">
      <c r="A10" s="15" t="s">
        <v>1</v>
      </c>
      <c r="B10" s="2">
        <v>0.19</v>
      </c>
      <c r="C10" s="2">
        <v>2.2999999999999998</v>
      </c>
      <c r="D10" s="2">
        <v>0.3</v>
      </c>
      <c r="E10" s="2">
        <v>0.1</v>
      </c>
      <c r="F10" s="2">
        <v>0</v>
      </c>
      <c r="G10" s="2">
        <v>1</v>
      </c>
      <c r="H10" s="2">
        <v>2.657</v>
      </c>
      <c r="I10" s="16">
        <v>7.23</v>
      </c>
    </row>
    <row r="11" spans="1:41" ht="15" thickBot="1" x14ac:dyDescent="0.35">
      <c r="A11" s="17" t="s">
        <v>16</v>
      </c>
      <c r="B11" s="18">
        <f t="shared" ref="B11" si="1">(B10-B9)/B9</f>
        <v>-0.54761904761904756</v>
      </c>
      <c r="C11" s="18">
        <f t="shared" ref="C11" si="2">(C10-C9)/C9</f>
        <v>-0.83571428571428563</v>
      </c>
      <c r="D11" s="18">
        <f t="shared" ref="D11" si="3">(D10-D9)/D9</f>
        <v>-0.5714285714285714</v>
      </c>
      <c r="E11" s="18">
        <f t="shared" ref="E11" si="4">(E10-E9)/E9</f>
        <v>0</v>
      </c>
      <c r="F11" s="18">
        <v>0</v>
      </c>
      <c r="G11" s="18">
        <f t="shared" ref="G11" si="5">(G10-G9)/G9</f>
        <v>0</v>
      </c>
      <c r="H11" s="18">
        <f t="shared" ref="H11" si="6">(H10-H9)/H9</f>
        <v>1.0790297339593113</v>
      </c>
      <c r="I11" s="19">
        <f t="shared" ref="I11" si="7">(I10-I9)/I9</f>
        <v>-0.553979025293029</v>
      </c>
    </row>
    <row r="12" spans="1:41" ht="15" thickBot="1" x14ac:dyDescent="0.35"/>
    <row r="13" spans="1:41" x14ac:dyDescent="0.3">
      <c r="A13" s="10" t="s">
        <v>15</v>
      </c>
      <c r="B13" s="11" t="s">
        <v>12</v>
      </c>
      <c r="C13" s="11"/>
      <c r="D13" s="11"/>
      <c r="E13" s="11"/>
      <c r="F13" s="11"/>
      <c r="G13" s="11"/>
      <c r="H13" s="11"/>
      <c r="I13" s="12"/>
    </row>
    <row r="14" spans="1:41" x14ac:dyDescent="0.3">
      <c r="A14" s="13"/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14" t="s">
        <v>10</v>
      </c>
    </row>
    <row r="15" spans="1:41" x14ac:dyDescent="0.3">
      <c r="A15" s="15" t="s">
        <v>0</v>
      </c>
      <c r="B15" s="2">
        <v>0.09</v>
      </c>
      <c r="C15" s="2">
        <v>12.9</v>
      </c>
      <c r="D15" s="2">
        <v>0</v>
      </c>
      <c r="E15" s="2">
        <v>0</v>
      </c>
      <c r="F15" s="2">
        <v>0</v>
      </c>
      <c r="G15" s="2">
        <v>1</v>
      </c>
      <c r="H15" s="2">
        <v>1.177</v>
      </c>
      <c r="I15" s="16">
        <v>12.06</v>
      </c>
    </row>
    <row r="16" spans="1:41" x14ac:dyDescent="0.3">
      <c r="A16" s="15" t="s">
        <v>1</v>
      </c>
      <c r="B16" s="2">
        <v>0.16</v>
      </c>
      <c r="C16" s="2">
        <v>9.4</v>
      </c>
      <c r="D16" s="2">
        <v>0.4</v>
      </c>
      <c r="E16" s="2">
        <v>0</v>
      </c>
      <c r="F16" s="2">
        <v>0</v>
      </c>
      <c r="G16" s="2">
        <v>1</v>
      </c>
      <c r="H16" s="2">
        <v>1.899</v>
      </c>
      <c r="I16" s="16">
        <v>10</v>
      </c>
    </row>
    <row r="17" spans="1:9" ht="15" thickBot="1" x14ac:dyDescent="0.35">
      <c r="A17" s="17" t="s">
        <v>16</v>
      </c>
      <c r="B17" s="23">
        <f t="shared" ref="B17" si="8">(B16-B15)/B15</f>
        <v>0.7777777777777779</v>
      </c>
      <c r="C17" s="23">
        <f t="shared" ref="C17" si="9">(C16-C15)/C15</f>
        <v>-0.27131782945736432</v>
      </c>
      <c r="D17" s="18">
        <v>0</v>
      </c>
      <c r="E17" s="18">
        <v>0</v>
      </c>
      <c r="F17" s="18">
        <v>0</v>
      </c>
      <c r="G17" s="23">
        <f t="shared" ref="G17" si="10">(G16-G15)/G15</f>
        <v>0</v>
      </c>
      <c r="H17" s="23">
        <f t="shared" ref="H17" si="11">(H16-H15)/H15</f>
        <v>0.61342395921835169</v>
      </c>
      <c r="I17" s="24">
        <f t="shared" ref="I17" si="12">(I16-I15)/I15</f>
        <v>-0.17081260364842457</v>
      </c>
    </row>
    <row r="18" spans="1:9" ht="15" thickBot="1" x14ac:dyDescent="0.35"/>
    <row r="19" spans="1:9" x14ac:dyDescent="0.3">
      <c r="A19" s="10" t="s">
        <v>15</v>
      </c>
      <c r="B19" s="20" t="s">
        <v>13</v>
      </c>
      <c r="C19" s="20"/>
      <c r="D19" s="20"/>
      <c r="E19" s="20"/>
      <c r="F19" s="20"/>
      <c r="G19" s="20"/>
      <c r="H19" s="20"/>
      <c r="I19" s="21"/>
    </row>
    <row r="20" spans="1:9" x14ac:dyDescent="0.3">
      <c r="A20" s="13"/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22" t="s">
        <v>10</v>
      </c>
    </row>
    <row r="21" spans="1:9" x14ac:dyDescent="0.3">
      <c r="A21" s="15" t="s">
        <v>0</v>
      </c>
      <c r="B21" s="2">
        <v>0.05</v>
      </c>
      <c r="C21" s="2">
        <v>11.8</v>
      </c>
      <c r="D21" s="2">
        <v>0</v>
      </c>
      <c r="E21" s="2">
        <v>0</v>
      </c>
      <c r="F21" s="2">
        <v>0</v>
      </c>
      <c r="G21" s="2">
        <v>1</v>
      </c>
      <c r="H21" s="2">
        <v>1.0660000000000001</v>
      </c>
      <c r="I21" s="16">
        <v>15.76</v>
      </c>
    </row>
    <row r="22" spans="1:9" x14ac:dyDescent="0.3">
      <c r="A22" s="15" t="s">
        <v>1</v>
      </c>
      <c r="B22" s="2">
        <v>0.01</v>
      </c>
      <c r="C22" s="2">
        <v>0.4</v>
      </c>
      <c r="D22" s="2">
        <v>0</v>
      </c>
      <c r="E22" s="2">
        <v>0</v>
      </c>
      <c r="F22" s="2">
        <v>0</v>
      </c>
      <c r="G22" s="2">
        <v>1</v>
      </c>
      <c r="H22" s="2">
        <v>2.6520000000000001</v>
      </c>
      <c r="I22" s="16">
        <v>6.87</v>
      </c>
    </row>
    <row r="23" spans="1:9" ht="15" thickBot="1" x14ac:dyDescent="0.35">
      <c r="A23" s="17" t="s">
        <v>16</v>
      </c>
      <c r="B23" s="18">
        <f t="shared" ref="B23" si="13">(B22-B21)/B21</f>
        <v>-0.79999999999999993</v>
      </c>
      <c r="C23" s="18">
        <f t="shared" ref="C23" si="14">(C22-C21)/C21</f>
        <v>-0.96610169491525422</v>
      </c>
      <c r="D23" s="18">
        <v>0</v>
      </c>
      <c r="E23" s="18">
        <v>0</v>
      </c>
      <c r="F23" s="18">
        <v>0</v>
      </c>
      <c r="G23" s="18">
        <f t="shared" ref="G23" si="15">(G22-G21)/G21</f>
        <v>0</v>
      </c>
      <c r="H23" s="18">
        <f t="shared" ref="H23" si="16">(H22-H21)/H21</f>
        <v>1.4878048780487805</v>
      </c>
      <c r="I23" s="19">
        <f t="shared" ref="I23" si="17">(I22-I21)/I21</f>
        <v>-0.56408629441624369</v>
      </c>
    </row>
    <row r="24" spans="1:9" ht="15" thickBot="1" x14ac:dyDescent="0.35"/>
    <row r="25" spans="1:9" x14ac:dyDescent="0.3">
      <c r="A25" s="10" t="s">
        <v>15</v>
      </c>
      <c r="B25" s="11" t="s">
        <v>14</v>
      </c>
      <c r="C25" s="11"/>
      <c r="D25" s="11"/>
      <c r="E25" s="11"/>
      <c r="F25" s="11"/>
      <c r="G25" s="11"/>
      <c r="H25" s="11"/>
      <c r="I25" s="12"/>
    </row>
    <row r="26" spans="1:9" x14ac:dyDescent="0.3">
      <c r="A26" s="13"/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14" t="s">
        <v>10</v>
      </c>
    </row>
    <row r="27" spans="1:9" x14ac:dyDescent="0.3">
      <c r="A27" s="15" t="s">
        <v>0</v>
      </c>
      <c r="B27" s="2">
        <v>0.77</v>
      </c>
      <c r="C27" s="2">
        <v>7.7</v>
      </c>
      <c r="D27" s="2">
        <v>0.8</v>
      </c>
      <c r="E27" s="2">
        <v>0.4</v>
      </c>
      <c r="F27" s="2">
        <v>0.2</v>
      </c>
      <c r="G27" s="2">
        <v>1</v>
      </c>
      <c r="H27" s="2">
        <v>3.08</v>
      </c>
      <c r="I27" s="16">
        <v>8.6</v>
      </c>
    </row>
    <row r="28" spans="1:9" x14ac:dyDescent="0.3">
      <c r="A28" s="15" t="s">
        <v>1</v>
      </c>
      <c r="B28" s="2">
        <v>0.76</v>
      </c>
      <c r="C28" s="2">
        <v>8.1</v>
      </c>
      <c r="D28" s="2">
        <v>1</v>
      </c>
      <c r="E28" s="2">
        <v>0.3</v>
      </c>
      <c r="F28" s="2">
        <v>0.1</v>
      </c>
      <c r="G28" s="2">
        <v>1</v>
      </c>
      <c r="H28" s="2">
        <v>2.6659999999999999</v>
      </c>
      <c r="I28" s="16">
        <v>8.93</v>
      </c>
    </row>
    <row r="29" spans="1:9" ht="15" thickBot="1" x14ac:dyDescent="0.35">
      <c r="A29" s="17" t="s">
        <v>16</v>
      </c>
      <c r="B29" s="18">
        <f t="shared" ref="B29" si="18">(B28-B27)/B27</f>
        <v>-1.2987012987012998E-2</v>
      </c>
      <c r="C29" s="18">
        <f t="shared" ref="C29" si="19">(C28-C27)/C27</f>
        <v>5.1948051948051875E-2</v>
      </c>
      <c r="D29" s="18">
        <f t="shared" ref="D29" si="20">(D28-D27)/D27</f>
        <v>0.24999999999999994</v>
      </c>
      <c r="E29" s="18">
        <f t="shared" ref="E29" si="21">(E28-E27)/E27</f>
        <v>-0.25000000000000006</v>
      </c>
      <c r="F29" s="18">
        <f t="shared" ref="F29" si="22">(F28-F27)/F27</f>
        <v>-0.5</v>
      </c>
      <c r="G29" s="18">
        <f t="shared" ref="G29" si="23">(G28-G27)/G27</f>
        <v>0</v>
      </c>
      <c r="H29" s="18">
        <f t="shared" ref="H29" si="24">(H28-H27)/H27</f>
        <v>-0.13441558441558446</v>
      </c>
      <c r="I29" s="19">
        <f t="shared" ref="I29" si="25">(I28-I27)/I27</f>
        <v>3.8372093023255824E-2</v>
      </c>
    </row>
    <row r="31" spans="1:9" x14ac:dyDescent="0.3">
      <c r="A31" s="6"/>
    </row>
    <row r="32" spans="1:9" x14ac:dyDescent="0.3">
      <c r="A32" s="6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</sheetData>
  <mergeCells count="10">
    <mergeCell ref="B19:I19"/>
    <mergeCell ref="B25:I25"/>
    <mergeCell ref="B7:I7"/>
    <mergeCell ref="A7:A8"/>
    <mergeCell ref="B13:I13"/>
    <mergeCell ref="A13:A14"/>
    <mergeCell ref="A19:A20"/>
    <mergeCell ref="A25:A26"/>
    <mergeCell ref="A1:A2"/>
    <mergeCell ref="B1:I1"/>
  </mergeCells>
  <conditionalFormatting sqref="B5:D5 G5:AO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E11 G11:I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C17 G17:I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I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I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Kopystianski</dc:creator>
  <cp:lastModifiedBy>Jakub Kopystianski</cp:lastModifiedBy>
  <dcterms:created xsi:type="dcterms:W3CDTF">2015-06-05T18:17:20Z</dcterms:created>
  <dcterms:modified xsi:type="dcterms:W3CDTF">2026-01-29T14:47:15Z</dcterms:modified>
</cp:coreProperties>
</file>